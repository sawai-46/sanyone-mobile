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日曜日出荷　小粒" sheetId="2" r:id="rId5"/>
    <sheet state="visible" name="日曜日出荷　フクユタカ" sheetId="3" r:id="rId6"/>
    <sheet state="visible" name="平日出荷　小粒" sheetId="4" r:id="rId7"/>
    <sheet state="visible" name="平日出荷　フクユタカ" sheetId="5" r:id="rId8"/>
  </sheets>
  <definedNames/>
  <calcPr/>
  <extLst>
    <ext uri="GoogleSheetsCustomDataVersion2">
      <go:sheetsCustomData xmlns:go="http://customooxmlschemas.google.com/" r:id="rId9" roundtripDataChecksum="SBVF55nmSSu2B+grIWlwTM4ApYX5IgHqWUnYasPZl2E="/>
    </ext>
  </extLst>
</workbook>
</file>

<file path=xl/sharedStrings.xml><?xml version="1.0" encoding="utf-8"?>
<sst xmlns="http://schemas.openxmlformats.org/spreadsheetml/2006/main" count="219" uniqueCount="36">
  <si>
    <t>サンヨネ</t>
  </si>
  <si>
    <t>日曜日出荷</t>
  </si>
  <si>
    <t>列1</t>
  </si>
  <si>
    <t>列2</t>
  </si>
  <si>
    <t>列3</t>
  </si>
  <si>
    <t>列4</t>
  </si>
  <si>
    <t>列5</t>
  </si>
  <si>
    <t>列6</t>
  </si>
  <si>
    <t>小粒</t>
  </si>
  <si>
    <t>シールの枚数</t>
  </si>
  <si>
    <t>6+α枚</t>
  </si>
  <si>
    <t>６枚</t>
  </si>
  <si>
    <t>３枚</t>
  </si>
  <si>
    <t>包装した数</t>
  </si>
  <si>
    <t>(商品コード50)</t>
  </si>
  <si>
    <t>商品コード</t>
  </si>
  <si>
    <t>店舗名</t>
  </si>
  <si>
    <t>蒲郡</t>
  </si>
  <si>
    <t>東</t>
  </si>
  <si>
    <t>豊川</t>
  </si>
  <si>
    <t>高師</t>
  </si>
  <si>
    <t>魚町</t>
  </si>
  <si>
    <t>合計</t>
  </si>
  <si>
    <t>個数</t>
  </si>
  <si>
    <t>90+α</t>
  </si>
  <si>
    <t>蒲郡以外で２５０個</t>
  </si>
  <si>
    <t>フクユタカ</t>
  </si>
  <si>
    <t>(商品コード)</t>
  </si>
  <si>
    <t>80+α</t>
  </si>
  <si>
    <t>蒲郡以外で２6０個</t>
  </si>
  <si>
    <t>平日出荷</t>
  </si>
  <si>
    <t>60+α</t>
  </si>
  <si>
    <t>蒲郡以外で２８０個</t>
  </si>
  <si>
    <t>蒲郡以外で</t>
  </si>
  <si>
    <t>α=</t>
  </si>
  <si>
    <t>3枚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</si>
</sst>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游ゴシック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2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8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  <tableStyle count="3" pivot="0" name="Sheet1-style 4">
      <tableStyleElement dxfId="1" type="headerRow"/>
      <tableStyleElement dxfId="2" type="firstRowStripe"/>
      <tableStyleElement dxfId="3" type="secondRowStripe"/>
    </tableStyle>
    <tableStyle count="3" pivot="0" name="日曜日出荷　小粒-style">
      <tableStyleElement dxfId="1" type="headerRow"/>
      <tableStyleElement dxfId="2" type="firstRowStripe"/>
      <tableStyleElement dxfId="3" type="secondRowStripe"/>
    </tableStyle>
    <tableStyle count="3" pivot="0" name="日曜日出荷　フクユタカ-style">
      <tableStyleElement dxfId="1" type="headerRow"/>
      <tableStyleElement dxfId="2" type="firstRowStripe"/>
      <tableStyleElement dxfId="3" type="secondRowStripe"/>
    </tableStyle>
    <tableStyle count="3" pivot="0" name="平日出荷　小粒-style">
      <tableStyleElement dxfId="1" type="headerRow"/>
      <tableStyleElement dxfId="2" type="firstRowStripe"/>
      <tableStyleElement dxfId="3" type="secondRowStripe"/>
    </tableStyle>
    <tableStyle count="3" pivot="0" name="平日出荷　フクユタカ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G8" displayName="Table_1" name="Table_1" id="1">
  <tableColumns count="6">
    <tableColumn name="列1" id="1"/>
    <tableColumn name="列2" id="2"/>
    <tableColumn name="列3" id="3"/>
    <tableColumn name="列4" id="4"/>
    <tableColumn name="列5" id="5"/>
    <tableColumn name="列6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2:G16" displayName="Table_2" name="Table_2" id="2">
  <tableColumns count="6">
    <tableColumn name="列1" id="1"/>
    <tableColumn name="列2" id="2"/>
    <tableColumn name="列3" id="3"/>
    <tableColumn name="列4" id="4"/>
    <tableColumn name="列5" id="5"/>
    <tableColumn name="列6" id="6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B20:G24" displayName="Table_3" name="Table_3" id="3">
  <tableColumns count="6">
    <tableColumn name="列1" id="1"/>
    <tableColumn name="列2" id="2"/>
    <tableColumn name="列3" id="3"/>
    <tableColumn name="列4" id="4"/>
    <tableColumn name="列5" id="5"/>
    <tableColumn name="列6" id="6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B28:G32" displayName="Table_4" name="Table_4" id="4">
  <tableColumns count="6">
    <tableColumn name="列1" id="1"/>
    <tableColumn name="列2" id="2"/>
    <tableColumn name="列3" id="3"/>
    <tableColumn name="列4" id="4"/>
    <tableColumn name="列5" id="5"/>
    <tableColumn name="列6" id="6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B4:G8" displayName="Table_5" name="Table_5" id="5">
  <tableColumns count="6">
    <tableColumn name="列1" id="1"/>
    <tableColumn name="列2" id="2"/>
    <tableColumn name="列3" id="3"/>
    <tableColumn name="列4" id="4"/>
    <tableColumn name="列5" id="5"/>
    <tableColumn name="列6" id="6"/>
  </tableColumns>
  <tableStyleInfo name="日曜日出荷　小粒-style" showColumnStripes="0" showFirstColumn="1" showLastColumn="1" showRowStripes="1"/>
</table>
</file>

<file path=xl/tables/table6.xml><?xml version="1.0" encoding="utf-8"?>
<table xmlns="http://schemas.openxmlformats.org/spreadsheetml/2006/main" ref="B4:G8" displayName="Table_6" name="Table_6" id="6">
  <tableColumns count="6">
    <tableColumn name="列1" id="1"/>
    <tableColumn name="列2" id="2"/>
    <tableColumn name="列3" id="3"/>
    <tableColumn name="列4" id="4"/>
    <tableColumn name="列5" id="5"/>
    <tableColumn name="列6" id="6"/>
  </tableColumns>
  <tableStyleInfo name="日曜日出荷　フクユタカ-style" showColumnStripes="0" showFirstColumn="1" showLastColumn="1" showRowStripes="1"/>
</table>
</file>

<file path=xl/tables/table7.xml><?xml version="1.0" encoding="utf-8"?>
<table xmlns="http://schemas.openxmlformats.org/spreadsheetml/2006/main" ref="B4:G8" displayName="Table_7" name="Table_7" id="7">
  <tableColumns count="6">
    <tableColumn name="列1" id="1"/>
    <tableColumn name="列2" id="2"/>
    <tableColumn name="列3" id="3"/>
    <tableColumn name="列4" id="4"/>
    <tableColumn name="列5" id="5"/>
    <tableColumn name="列6" id="6"/>
  </tableColumns>
  <tableStyleInfo name="平日出荷　小粒-style" showColumnStripes="0" showFirstColumn="1" showLastColumn="1" showRowStripes="1"/>
</table>
</file>

<file path=xl/tables/table8.xml><?xml version="1.0" encoding="utf-8"?>
<table xmlns="http://schemas.openxmlformats.org/spreadsheetml/2006/main" ref="B4:G8" displayName="Table_8" name="Table_8" id="8">
  <tableColumns count="6">
    <tableColumn name="列1" id="1"/>
    <tableColumn name="列2" id="2"/>
    <tableColumn name="列3" id="3"/>
    <tableColumn name="列4" id="4"/>
    <tableColumn name="列5" id="5"/>
    <tableColumn name="列6" id="6"/>
  </tableColumns>
  <tableStyleInfo name="平日出荷　フクユタカ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3.38"/>
    <col customWidth="1" min="3" max="8" width="7.63"/>
    <col customWidth="1" min="9" max="9" width="10.38"/>
    <col customWidth="1" min="10" max="26" width="7.63"/>
  </cols>
  <sheetData>
    <row r="1" ht="18.75" customHeight="1"/>
    <row r="2" ht="18.75" customHeight="1">
      <c r="A2" s="1" t="s">
        <v>0</v>
      </c>
    </row>
    <row r="3" ht="18.75" customHeight="1">
      <c r="A3" s="1" t="s">
        <v>1</v>
      </c>
    </row>
    <row r="4" ht="18.7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ht="18.75" customHeight="1">
      <c r="A5" s="3" t="s">
        <v>8</v>
      </c>
      <c r="B5" s="4" t="s">
        <v>9</v>
      </c>
      <c r="C5" s="5" t="s">
        <v>10</v>
      </c>
      <c r="D5" s="5" t="s">
        <v>11</v>
      </c>
      <c r="E5" s="5" t="s">
        <v>11</v>
      </c>
      <c r="F5" s="5" t="s">
        <v>11</v>
      </c>
      <c r="G5" s="5" t="s">
        <v>12</v>
      </c>
      <c r="I5" s="6" t="s">
        <v>13</v>
      </c>
    </row>
    <row r="6" ht="18.75" customHeight="1">
      <c r="A6" s="3" t="s">
        <v>14</v>
      </c>
      <c r="B6" s="4" t="s">
        <v>15</v>
      </c>
      <c r="C6" s="2">
        <v>359.0</v>
      </c>
      <c r="D6" s="2">
        <v>362.0</v>
      </c>
      <c r="E6" s="2">
        <v>363.0</v>
      </c>
      <c r="F6" s="2">
        <v>360.0</v>
      </c>
      <c r="G6" s="2">
        <v>365.0</v>
      </c>
      <c r="I6" s="7">
        <v>377.0</v>
      </c>
    </row>
    <row r="7" ht="18.75" customHeight="1"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I7" s="6" t="s">
        <v>22</v>
      </c>
    </row>
    <row r="8" ht="18.75" customHeight="1">
      <c r="B8" s="4" t="s">
        <v>23</v>
      </c>
      <c r="C8" s="2">
        <f>I6-250</f>
        <v>127</v>
      </c>
      <c r="D8" s="2">
        <v>70.0</v>
      </c>
      <c r="E8" s="2">
        <v>90.0</v>
      </c>
      <c r="F8" s="2">
        <v>70.0</v>
      </c>
      <c r="G8" s="2">
        <v>20.0</v>
      </c>
      <c r="I8" s="7">
        <f>SUM(Sheet1!$C8:$G8)</f>
        <v>377</v>
      </c>
    </row>
    <row r="9" ht="18.75" customHeight="1">
      <c r="C9" s="1" t="s">
        <v>24</v>
      </c>
      <c r="D9" s="1" t="s">
        <v>25</v>
      </c>
    </row>
    <row r="10" ht="18.75" customHeight="1"/>
    <row r="11" ht="18.75" customHeight="1"/>
    <row r="12" ht="18.75" customHeight="1"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</row>
    <row r="13" ht="18.75" customHeight="1">
      <c r="A13" s="3" t="s">
        <v>26</v>
      </c>
      <c r="B13" s="4" t="s">
        <v>9</v>
      </c>
      <c r="C13" s="5" t="s">
        <v>10</v>
      </c>
      <c r="D13" s="5" t="s">
        <v>11</v>
      </c>
      <c r="E13" s="5" t="s">
        <v>11</v>
      </c>
      <c r="F13" s="5" t="s">
        <v>11</v>
      </c>
      <c r="G13" s="5" t="s">
        <v>12</v>
      </c>
      <c r="I13" s="6" t="s">
        <v>13</v>
      </c>
    </row>
    <row r="14" ht="18.75" customHeight="1">
      <c r="A14" s="3" t="s">
        <v>27</v>
      </c>
      <c r="B14" s="4" t="s">
        <v>15</v>
      </c>
      <c r="C14" s="2">
        <v>359.0</v>
      </c>
      <c r="D14" s="2">
        <v>362.0</v>
      </c>
      <c r="E14" s="2">
        <v>363.0</v>
      </c>
      <c r="F14" s="2">
        <v>360.0</v>
      </c>
      <c r="G14" s="2">
        <v>365.0</v>
      </c>
      <c r="I14" s="7">
        <v>377.0</v>
      </c>
    </row>
    <row r="15" ht="18.75" customHeight="1">
      <c r="B15" s="4" t="s">
        <v>16</v>
      </c>
      <c r="C15" s="4" t="s">
        <v>17</v>
      </c>
      <c r="D15" s="4" t="s">
        <v>18</v>
      </c>
      <c r="E15" s="4" t="s">
        <v>19</v>
      </c>
      <c r="F15" s="4" t="s">
        <v>20</v>
      </c>
      <c r="G15" s="4" t="s">
        <v>21</v>
      </c>
      <c r="I15" s="6" t="s">
        <v>22</v>
      </c>
    </row>
    <row r="16" ht="18.75" customHeight="1">
      <c r="B16" s="4" t="s">
        <v>23</v>
      </c>
      <c r="C16" s="2">
        <f>I14-260</f>
        <v>117</v>
      </c>
      <c r="D16" s="2">
        <v>80.0</v>
      </c>
      <c r="E16" s="2">
        <v>100.0</v>
      </c>
      <c r="F16" s="2">
        <v>60.0</v>
      </c>
      <c r="G16" s="2">
        <v>20.0</v>
      </c>
      <c r="I16" s="7">
        <f>SUM(Sheet1!$C16:$G16)</f>
        <v>377</v>
      </c>
    </row>
    <row r="17" ht="18.75" customHeight="1">
      <c r="C17" s="1" t="s">
        <v>28</v>
      </c>
      <c r="D17" s="1" t="s">
        <v>29</v>
      </c>
    </row>
    <row r="18" ht="18.75" customHeight="1"/>
    <row r="19" ht="18.75" customHeight="1">
      <c r="A19" s="1" t="s">
        <v>30</v>
      </c>
    </row>
    <row r="20" ht="18.75" customHeight="1"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</row>
    <row r="21" ht="18.75" customHeight="1">
      <c r="A21" s="3" t="s">
        <v>8</v>
      </c>
      <c r="B21" s="4" t="s">
        <v>9</v>
      </c>
      <c r="C21" s="5" t="s">
        <v>10</v>
      </c>
      <c r="D21" s="5" t="s">
        <v>11</v>
      </c>
      <c r="E21" s="5" t="s">
        <v>11</v>
      </c>
      <c r="F21" s="5" t="s">
        <v>11</v>
      </c>
      <c r="G21" s="5" t="s">
        <v>12</v>
      </c>
      <c r="I21" s="6" t="s">
        <v>13</v>
      </c>
    </row>
    <row r="22" ht="18.75" customHeight="1">
      <c r="A22" s="3" t="s">
        <v>14</v>
      </c>
      <c r="B22" s="4" t="s">
        <v>15</v>
      </c>
      <c r="C22" s="2">
        <v>359.0</v>
      </c>
      <c r="D22" s="2">
        <v>362.0</v>
      </c>
      <c r="E22" s="2">
        <v>363.0</v>
      </c>
      <c r="F22" s="2">
        <v>360.0</v>
      </c>
      <c r="G22" s="2">
        <v>365.0</v>
      </c>
      <c r="I22" s="7">
        <v>377.0</v>
      </c>
    </row>
    <row r="23" ht="18.75" customHeight="1">
      <c r="B23" s="4" t="s">
        <v>16</v>
      </c>
      <c r="C23" s="4" t="s">
        <v>17</v>
      </c>
      <c r="D23" s="4" t="s">
        <v>18</v>
      </c>
      <c r="E23" s="4" t="s">
        <v>19</v>
      </c>
      <c r="F23" s="4" t="s">
        <v>20</v>
      </c>
      <c r="G23" s="4" t="s">
        <v>21</v>
      </c>
      <c r="I23" s="6" t="s">
        <v>22</v>
      </c>
    </row>
    <row r="24" ht="18.75" customHeight="1">
      <c r="B24" s="4" t="s">
        <v>23</v>
      </c>
      <c r="C24" s="2">
        <f>I22-250</f>
        <v>127</v>
      </c>
      <c r="D24" s="2">
        <v>60.0</v>
      </c>
      <c r="E24" s="2">
        <v>90.0</v>
      </c>
      <c r="F24" s="2">
        <v>60.0</v>
      </c>
      <c r="G24" s="2">
        <v>40.0</v>
      </c>
      <c r="I24" s="7">
        <f>SUM(Sheet1!$C24:$G24)</f>
        <v>377</v>
      </c>
    </row>
    <row r="25" ht="18.75" customHeight="1">
      <c r="C25" s="1" t="s">
        <v>24</v>
      </c>
      <c r="D25" s="1" t="s">
        <v>25</v>
      </c>
    </row>
    <row r="26" ht="18.75" customHeight="1"/>
    <row r="27" ht="18.75" customHeight="1"/>
    <row r="28" ht="18.75" customHeight="1"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</row>
    <row r="29" ht="18.75" customHeight="1">
      <c r="A29" s="3" t="s">
        <v>26</v>
      </c>
      <c r="B29" s="4" t="s">
        <v>9</v>
      </c>
      <c r="C29" s="5" t="s">
        <v>10</v>
      </c>
      <c r="D29" s="5" t="s">
        <v>11</v>
      </c>
      <c r="E29" s="5" t="s">
        <v>11</v>
      </c>
      <c r="F29" s="5" t="s">
        <v>11</v>
      </c>
      <c r="G29" s="5" t="s">
        <v>12</v>
      </c>
      <c r="I29" s="6" t="s">
        <v>13</v>
      </c>
    </row>
    <row r="30" ht="18.75" customHeight="1">
      <c r="A30" s="3" t="s">
        <v>27</v>
      </c>
      <c r="B30" s="4" t="s">
        <v>15</v>
      </c>
      <c r="C30" s="2">
        <v>359.0</v>
      </c>
      <c r="D30" s="2">
        <v>362.0</v>
      </c>
      <c r="E30" s="2">
        <v>363.0</v>
      </c>
      <c r="F30" s="2">
        <v>360.0</v>
      </c>
      <c r="G30" s="2">
        <v>365.0</v>
      </c>
      <c r="I30" s="7">
        <v>377.0</v>
      </c>
    </row>
    <row r="31" ht="18.75" customHeight="1">
      <c r="B31" s="4" t="s">
        <v>16</v>
      </c>
      <c r="C31" s="4" t="s">
        <v>17</v>
      </c>
      <c r="D31" s="4" t="s">
        <v>18</v>
      </c>
      <c r="E31" s="4" t="s">
        <v>19</v>
      </c>
      <c r="F31" s="4" t="s">
        <v>20</v>
      </c>
      <c r="G31" s="4" t="s">
        <v>21</v>
      </c>
      <c r="I31" s="6" t="s">
        <v>22</v>
      </c>
    </row>
    <row r="32" ht="18.75" customHeight="1">
      <c r="B32" s="4" t="s">
        <v>23</v>
      </c>
      <c r="C32" s="2">
        <f>I30-280</f>
        <v>97</v>
      </c>
      <c r="D32" s="2">
        <v>90.0</v>
      </c>
      <c r="E32" s="2">
        <v>60.0</v>
      </c>
      <c r="F32" s="2">
        <v>80.0</v>
      </c>
      <c r="G32" s="2">
        <v>50.0</v>
      </c>
      <c r="I32" s="7">
        <f>SUM(Sheet1!$C32:$G32)</f>
        <v>377</v>
      </c>
    </row>
    <row r="33" ht="18.75" customHeight="1">
      <c r="C33" s="1" t="s">
        <v>31</v>
      </c>
      <c r="D33" s="1" t="s">
        <v>32</v>
      </c>
    </row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4.0"/>
    <col customWidth="1" min="3" max="3" width="7.63"/>
    <col customWidth="1" min="4" max="4" width="8.88"/>
    <col customWidth="1" min="5" max="8" width="7.63"/>
    <col customWidth="1" min="9" max="9" width="8.75"/>
    <col customWidth="1" min="10" max="26" width="7.63"/>
  </cols>
  <sheetData>
    <row r="1" ht="18.75" customHeight="1"/>
    <row r="2" ht="18.75" customHeight="1"/>
    <row r="3" ht="18.75" customHeight="1">
      <c r="A3" s="1" t="s">
        <v>1</v>
      </c>
    </row>
    <row r="4" ht="18.7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ht="18.75" customHeight="1">
      <c r="A5" s="3" t="s">
        <v>8</v>
      </c>
      <c r="B5" s="4" t="s">
        <v>9</v>
      </c>
      <c r="C5" s="5" t="s">
        <v>10</v>
      </c>
      <c r="D5" s="5" t="s">
        <v>11</v>
      </c>
      <c r="E5" s="5" t="s">
        <v>11</v>
      </c>
      <c r="F5" s="5" t="s">
        <v>11</v>
      </c>
      <c r="G5" s="5" t="s">
        <v>12</v>
      </c>
      <c r="I5" s="6" t="s">
        <v>13</v>
      </c>
    </row>
    <row r="6" ht="18.75" customHeight="1">
      <c r="A6" s="3" t="s">
        <v>14</v>
      </c>
      <c r="B6" s="4" t="s">
        <v>15</v>
      </c>
      <c r="C6" s="2">
        <v>359.0</v>
      </c>
      <c r="D6" s="2">
        <v>362.0</v>
      </c>
      <c r="E6" s="2">
        <v>363.0</v>
      </c>
      <c r="F6" s="2">
        <v>360.0</v>
      </c>
      <c r="G6" s="2">
        <v>365.0</v>
      </c>
      <c r="I6" s="7">
        <v>377.0</v>
      </c>
    </row>
    <row r="7" ht="18.75" customHeight="1"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I7" s="6" t="s">
        <v>22</v>
      </c>
    </row>
    <row r="8" ht="18.75" customHeight="1">
      <c r="B8" s="4" t="s">
        <v>23</v>
      </c>
      <c r="C8" s="2">
        <f>I6-250</f>
        <v>127</v>
      </c>
      <c r="D8" s="2">
        <v>70.0</v>
      </c>
      <c r="E8" s="2">
        <v>90.0</v>
      </c>
      <c r="F8" s="2">
        <v>70.0</v>
      </c>
      <c r="G8" s="2">
        <v>20.0</v>
      </c>
      <c r="I8" s="7">
        <f>SUM('日曜日出荷　小粒'!$C8:$G8)</f>
        <v>377</v>
      </c>
    </row>
    <row r="9" ht="18.75" customHeight="1">
      <c r="C9" s="1" t="s">
        <v>24</v>
      </c>
      <c r="D9" s="1" t="s">
        <v>33</v>
      </c>
      <c r="E9" s="8">
        <f>SUM(D8:G8)</f>
        <v>250</v>
      </c>
    </row>
    <row r="10" ht="18.75" customHeight="1">
      <c r="C10" s="9" t="s">
        <v>34</v>
      </c>
      <c r="D10" s="8">
        <f>C8-90</f>
        <v>37</v>
      </c>
    </row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2.5"/>
    <col customWidth="1" min="3" max="3" width="7.63"/>
    <col customWidth="1" min="4" max="4" width="8.88"/>
    <col customWidth="1" min="5" max="8" width="7.63"/>
    <col customWidth="1" min="9" max="9" width="8.5"/>
    <col customWidth="1" min="10" max="26" width="7.63"/>
  </cols>
  <sheetData>
    <row r="1" ht="18.75" customHeight="1"/>
    <row r="2" ht="18.75" customHeight="1"/>
    <row r="3" ht="18.75" customHeight="1">
      <c r="A3" s="1" t="s">
        <v>1</v>
      </c>
    </row>
    <row r="4" ht="18.7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ht="18.75" customHeight="1">
      <c r="A5" s="3" t="s">
        <v>26</v>
      </c>
      <c r="B5" s="4" t="s">
        <v>9</v>
      </c>
      <c r="C5" s="5" t="s">
        <v>10</v>
      </c>
      <c r="D5" s="5" t="s">
        <v>11</v>
      </c>
      <c r="E5" s="5" t="s">
        <v>11</v>
      </c>
      <c r="F5" s="5" t="s">
        <v>35</v>
      </c>
      <c r="G5" s="5" t="s">
        <v>12</v>
      </c>
      <c r="I5" s="6" t="s">
        <v>13</v>
      </c>
    </row>
    <row r="6" ht="18.75" customHeight="1">
      <c r="A6" s="3" t="s">
        <v>27</v>
      </c>
      <c r="B6" s="4" t="s">
        <v>15</v>
      </c>
      <c r="C6" s="2">
        <v>359.0</v>
      </c>
      <c r="D6" s="2">
        <v>362.0</v>
      </c>
      <c r="E6" s="2">
        <v>363.0</v>
      </c>
      <c r="F6" s="2">
        <v>360.0</v>
      </c>
      <c r="G6" s="2">
        <v>365.0</v>
      </c>
      <c r="I6" s="10">
        <v>386.0</v>
      </c>
    </row>
    <row r="7" ht="18.75" customHeight="1"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I7" s="6" t="s">
        <v>22</v>
      </c>
    </row>
    <row r="8" ht="18.75" customHeight="1">
      <c r="B8" s="4" t="s">
        <v>23</v>
      </c>
      <c r="C8" s="2">
        <f>I6-260</f>
        <v>126</v>
      </c>
      <c r="D8" s="2">
        <v>80.0</v>
      </c>
      <c r="E8" s="2">
        <v>100.0</v>
      </c>
      <c r="F8" s="2">
        <v>60.0</v>
      </c>
      <c r="G8" s="2">
        <v>20.0</v>
      </c>
      <c r="I8" s="7">
        <f>SUM('日曜日出荷　フクユタカ'!$C8:$G8)</f>
        <v>386</v>
      </c>
    </row>
    <row r="9" ht="18.75" customHeight="1">
      <c r="C9" s="1" t="s">
        <v>28</v>
      </c>
      <c r="D9" s="1" t="s">
        <v>33</v>
      </c>
      <c r="E9" s="8">
        <f>SUM(D8:G8)</f>
        <v>260</v>
      </c>
    </row>
    <row r="10" ht="18.75" customHeight="1">
      <c r="C10" s="9" t="s">
        <v>34</v>
      </c>
      <c r="D10" s="8">
        <f>C8-80</f>
        <v>46</v>
      </c>
    </row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3.5"/>
    <col customWidth="1" min="3" max="3" width="7.63"/>
    <col customWidth="1" min="4" max="4" width="8.88"/>
    <col customWidth="1" min="5" max="8" width="7.63"/>
    <col customWidth="1" min="9" max="9" width="9.0"/>
    <col customWidth="1" min="10" max="26" width="7.63"/>
  </cols>
  <sheetData>
    <row r="1" ht="18.75" customHeight="1"/>
    <row r="2" ht="18.75" customHeight="1"/>
    <row r="3" ht="18.75" customHeight="1">
      <c r="A3" s="1" t="s">
        <v>30</v>
      </c>
    </row>
    <row r="4" ht="18.7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ht="18.75" customHeight="1">
      <c r="A5" s="3" t="s">
        <v>8</v>
      </c>
      <c r="B5" s="4" t="s">
        <v>9</v>
      </c>
      <c r="C5" s="5" t="s">
        <v>10</v>
      </c>
      <c r="D5" s="5" t="s">
        <v>35</v>
      </c>
      <c r="E5" s="5" t="s">
        <v>11</v>
      </c>
      <c r="F5" s="5" t="s">
        <v>35</v>
      </c>
      <c r="G5" s="5" t="s">
        <v>12</v>
      </c>
      <c r="I5" s="6" t="s">
        <v>13</v>
      </c>
    </row>
    <row r="6" ht="18.75" customHeight="1">
      <c r="A6" s="3" t="s">
        <v>14</v>
      </c>
      <c r="B6" s="4" t="s">
        <v>15</v>
      </c>
      <c r="C6" s="2">
        <v>359.0</v>
      </c>
      <c r="D6" s="2">
        <v>362.0</v>
      </c>
      <c r="E6" s="2">
        <v>363.0</v>
      </c>
      <c r="F6" s="2">
        <v>360.0</v>
      </c>
      <c r="G6" s="2">
        <v>365.0</v>
      </c>
      <c r="I6" s="10">
        <v>389.0</v>
      </c>
    </row>
    <row r="7" ht="18.75" customHeight="1"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I7" s="6" t="s">
        <v>22</v>
      </c>
    </row>
    <row r="8" ht="18.75" customHeight="1">
      <c r="B8" s="4" t="s">
        <v>23</v>
      </c>
      <c r="C8" s="2">
        <f>I6-250</f>
        <v>139</v>
      </c>
      <c r="D8" s="2">
        <v>60.0</v>
      </c>
      <c r="E8" s="2">
        <v>90.0</v>
      </c>
      <c r="F8" s="2">
        <v>60.0</v>
      </c>
      <c r="G8" s="2">
        <v>40.0</v>
      </c>
      <c r="I8" s="7">
        <f>SUM('平日出荷　小粒'!$C8:$G8)</f>
        <v>389</v>
      </c>
    </row>
    <row r="9" ht="18.75" customHeight="1">
      <c r="C9" s="1" t="s">
        <v>24</v>
      </c>
      <c r="D9" s="1" t="s">
        <v>33</v>
      </c>
      <c r="E9" s="8">
        <f>SUM(D8:G8)</f>
        <v>250</v>
      </c>
    </row>
    <row r="10" ht="18.75" customHeight="1">
      <c r="C10" s="9" t="s">
        <v>34</v>
      </c>
      <c r="D10" s="8">
        <f>C8-90</f>
        <v>49</v>
      </c>
    </row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3.5"/>
    <col customWidth="1" min="3" max="3" width="7.63"/>
    <col customWidth="1" min="4" max="4" width="8.88"/>
    <col customWidth="1" min="5" max="8" width="7.63"/>
    <col customWidth="1" min="9" max="9" width="9.13"/>
    <col customWidth="1" min="10" max="26" width="7.63"/>
  </cols>
  <sheetData>
    <row r="1" ht="18.75" customHeight="1"/>
    <row r="2" ht="18.75" customHeight="1"/>
    <row r="3" ht="18.75" customHeight="1">
      <c r="A3" s="1" t="s">
        <v>30</v>
      </c>
    </row>
    <row r="4" ht="18.75" customHeight="1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ht="18.75" customHeight="1">
      <c r="A5" s="3" t="s">
        <v>26</v>
      </c>
      <c r="B5" s="4" t="s">
        <v>9</v>
      </c>
      <c r="C5" s="5" t="s">
        <v>10</v>
      </c>
      <c r="D5" s="5" t="s">
        <v>11</v>
      </c>
      <c r="E5" s="5" t="s">
        <v>35</v>
      </c>
      <c r="F5" s="5" t="s">
        <v>11</v>
      </c>
      <c r="G5" s="5" t="s">
        <v>12</v>
      </c>
      <c r="I5" s="6" t="s">
        <v>13</v>
      </c>
    </row>
    <row r="6" ht="18.75" customHeight="1">
      <c r="A6" s="3" t="s">
        <v>27</v>
      </c>
      <c r="B6" s="4" t="s">
        <v>15</v>
      </c>
      <c r="C6" s="2">
        <v>359.0</v>
      </c>
      <c r="D6" s="2">
        <v>362.0</v>
      </c>
      <c r="E6" s="2">
        <v>363.0</v>
      </c>
      <c r="F6" s="2">
        <v>360.0</v>
      </c>
      <c r="G6" s="2">
        <v>365.0</v>
      </c>
      <c r="I6" s="7">
        <v>377.0</v>
      </c>
    </row>
    <row r="7" ht="18.75" customHeight="1"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I7" s="6" t="s">
        <v>22</v>
      </c>
    </row>
    <row r="8" ht="18.75" customHeight="1">
      <c r="B8" s="4" t="s">
        <v>23</v>
      </c>
      <c r="C8" s="2">
        <f>I6-280</f>
        <v>97</v>
      </c>
      <c r="D8" s="2">
        <v>90.0</v>
      </c>
      <c r="E8" s="2">
        <v>60.0</v>
      </c>
      <c r="F8" s="2">
        <v>80.0</v>
      </c>
      <c r="G8" s="2">
        <v>50.0</v>
      </c>
      <c r="I8" s="7">
        <f>SUM('平日出荷　フクユタカ'!$C8:$G8)</f>
        <v>377</v>
      </c>
    </row>
    <row r="9" ht="18.75" customHeight="1">
      <c r="C9" s="1" t="s">
        <v>31</v>
      </c>
      <c r="D9" s="1" t="s">
        <v>33</v>
      </c>
      <c r="E9" s="1">
        <f>SUM(D8:G8)</f>
        <v>280</v>
      </c>
    </row>
    <row r="10" ht="18.75" customHeight="1">
      <c r="C10" s="9" t="s">
        <v>34</v>
      </c>
      <c r="D10" s="8">
        <f>C8-60</f>
        <v>37</v>
      </c>
    </row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2025-11-03T00:13:54Z</dcterms:created>
  <dc:creator>幸郎 松崎</dc:creator>
</cp:coreProperties>
</file>